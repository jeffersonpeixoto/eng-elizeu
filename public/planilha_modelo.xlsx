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Jefferson Peixoto\Downloads\"/>
    </mc:Choice>
  </mc:AlternateContent>
  <xr:revisionPtr revIDLastSave="0" documentId="13_ncr:1_{98A83839-C515-4001-9C4B-5A365567D42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hamados" sheetId="1" r:id="rId1"/>
    <sheet name="Resumo por Loja" sheetId="2" r:id="rId2"/>
  </sheets>
  <calcPr calcId="191029"/>
</workbook>
</file>

<file path=xl/calcChain.xml><?xml version="1.0" encoding="utf-8"?>
<calcChain xmlns="http://schemas.openxmlformats.org/spreadsheetml/2006/main">
  <c r="B7" i="2" l="1"/>
  <c r="N13" i="1"/>
  <c r="O13" i="1" s="1"/>
  <c r="L13" i="1"/>
  <c r="N12" i="1"/>
  <c r="L12" i="1"/>
  <c r="O12" i="1" s="1"/>
  <c r="N11" i="1"/>
  <c r="L11" i="1"/>
  <c r="N10" i="1"/>
  <c r="L10" i="1"/>
  <c r="N9" i="1"/>
  <c r="O9" i="1" s="1"/>
  <c r="L9" i="1"/>
  <c r="N8" i="1"/>
  <c r="L8" i="1"/>
  <c r="N7" i="1"/>
  <c r="L7" i="1"/>
  <c r="O7" i="1" s="1"/>
  <c r="N6" i="1"/>
  <c r="O6" i="1" s="1"/>
  <c r="L6" i="1"/>
  <c r="N5" i="1"/>
  <c r="O5" i="1" s="1"/>
  <c r="L5" i="1"/>
  <c r="N4" i="1"/>
  <c r="L4" i="1"/>
  <c r="N3" i="1"/>
  <c r="L3" i="1"/>
  <c r="N2" i="1"/>
  <c r="O2" i="1" s="1"/>
  <c r="L2" i="1"/>
  <c r="O11" i="1" l="1"/>
  <c r="O10" i="1"/>
  <c r="B4" i="2" s="1"/>
  <c r="O8" i="1"/>
  <c r="B2" i="2" s="1"/>
  <c r="B3" i="2"/>
  <c r="O4" i="1"/>
  <c r="B5" i="2" s="1"/>
  <c r="O3" i="1"/>
  <c r="B6" i="2"/>
</calcChain>
</file>

<file path=xl/sharedStrings.xml><?xml version="1.0" encoding="utf-8"?>
<sst xmlns="http://schemas.openxmlformats.org/spreadsheetml/2006/main" count="160" uniqueCount="98">
  <si>
    <t>ID</t>
  </si>
  <si>
    <t>Solicitante</t>
  </si>
  <si>
    <t>Unidade</t>
  </si>
  <si>
    <t>Setor</t>
  </si>
  <si>
    <t>Problema</t>
  </si>
  <si>
    <t>Manutenção</t>
  </si>
  <si>
    <t>Prioridade</t>
  </si>
  <si>
    <t>Status</t>
  </si>
  <si>
    <t>Criação</t>
  </si>
  <si>
    <t>Início</t>
  </si>
  <si>
    <t>Finalização</t>
  </si>
  <si>
    <t>Duração (horas)</t>
  </si>
  <si>
    <t>Equipe Utilizada</t>
  </si>
  <si>
    <t>Custo Hora Equipe</t>
  </si>
  <si>
    <t>Custo do Chamado (R$)</t>
  </si>
  <si>
    <t>CH-1775826966193</t>
  </si>
  <si>
    <t>Gabriel</t>
  </si>
  <si>
    <t>CD</t>
  </si>
  <si>
    <t>FRIOS</t>
  </si>
  <si>
    <t>Exaustores do Salao da Padaria Central</t>
  </si>
  <si>
    <t>Corretiva</t>
  </si>
  <si>
    <t>Média</t>
  </si>
  <si>
    <t>Concluído</t>
  </si>
  <si>
    <t>10/04/2026 10:16:06</t>
  </si>
  <si>
    <t>10/04/2026 10:17:35</t>
  </si>
  <si>
    <t>10/04/2026 10:17:52</t>
  </si>
  <si>
    <t>CH-1775768734867</t>
  </si>
  <si>
    <t>Diego Linhares</t>
  </si>
  <si>
    <t>CENTRO</t>
  </si>
  <si>
    <t>ADM</t>
  </si>
  <si>
    <t>BANHEIRO</t>
  </si>
  <si>
    <t>09/04/2026 18:05:34</t>
  </si>
  <si>
    <t>10/04/2026 09:31:31</t>
  </si>
  <si>
    <t>10/04/2026 10:06:17</t>
  </si>
  <si>
    <t>CH-1775763858755</t>
  </si>
  <si>
    <t>Wellington</t>
  </si>
  <si>
    <t>LOJA 18</t>
  </si>
  <si>
    <t>Predial</t>
  </si>
  <si>
    <t>Piso</t>
  </si>
  <si>
    <t>09/04/2026 16:44:18</t>
  </si>
  <si>
    <t>10/04/2026 01:49:22</t>
  </si>
  <si>
    <t>CH-1775674325198</t>
  </si>
  <si>
    <t>Marlon</t>
  </si>
  <si>
    <t>LOJA 13</t>
  </si>
  <si>
    <t>CAMARA FRIOS</t>
  </si>
  <si>
    <t>Preventiva</t>
  </si>
  <si>
    <t>Em andamento</t>
  </si>
  <si>
    <t>08/04/2026 15:52:05</t>
  </si>
  <si>
    <t>11/04/2026 11:39:41</t>
  </si>
  <si>
    <t>CH-1775674237974</t>
  </si>
  <si>
    <t>Fabio</t>
  </si>
  <si>
    <t>LIXEIRO</t>
  </si>
  <si>
    <t>Crítica</t>
  </si>
  <si>
    <t>Aberto</t>
  </si>
  <si>
    <t>08/04/2026 15:50:37</t>
  </si>
  <si>
    <t>CH-1775654848727</t>
  </si>
  <si>
    <t>Bebedouro</t>
  </si>
  <si>
    <t>08/04/2026 10:27:28</t>
  </si>
  <si>
    <t>09/04/2026 14:38:31</t>
  </si>
  <si>
    <t>09/04/2026 16:43:10</t>
  </si>
  <si>
    <t>CH-1775609982340</t>
  </si>
  <si>
    <t>Italo Rodrigues</t>
  </si>
  <si>
    <t>LOJA 12</t>
  </si>
  <si>
    <t>Padaria</t>
  </si>
  <si>
    <t>07/04/2026 21:59:42</t>
  </si>
  <si>
    <t>09/04/2026 17:00:46</t>
  </si>
  <si>
    <t>11/04/2026 11:50:25</t>
  </si>
  <si>
    <t>CH-1775558202685</t>
  </si>
  <si>
    <t>Leonardo</t>
  </si>
  <si>
    <t>Câmara de frios</t>
  </si>
  <si>
    <t>07/04/2026 07:36:42</t>
  </si>
  <si>
    <t>07/04/2026 21:58:17</t>
  </si>
  <si>
    <t>CH-1775417585769</t>
  </si>
  <si>
    <t>Polyana</t>
  </si>
  <si>
    <t>LOJA 16</t>
  </si>
  <si>
    <t>Calha do sobrado</t>
  </si>
  <si>
    <t>Emergencial</t>
  </si>
  <si>
    <t>Alta</t>
  </si>
  <si>
    <t>05/04/2026 16:33:05</t>
  </si>
  <si>
    <t>CH-1775417399002</t>
  </si>
  <si>
    <t>Metalúrgica</t>
  </si>
  <si>
    <t>Check-out</t>
  </si>
  <si>
    <t>05/04/2026 16:29:59</t>
  </si>
  <si>
    <t>CH-1775417339049</t>
  </si>
  <si>
    <t>Caixa pague contas</t>
  </si>
  <si>
    <t>Instalação</t>
  </si>
  <si>
    <t>Baixa</t>
  </si>
  <si>
    <t>05/04/2026 16:28:59</t>
  </si>
  <si>
    <t>08/04/2026 11:52:50</t>
  </si>
  <si>
    <t>CH-1775417276166</t>
  </si>
  <si>
    <t>Área externa</t>
  </si>
  <si>
    <t>05/04/2026 16:27:56</t>
  </si>
  <si>
    <t>08/04/2026 11:52:37</t>
  </si>
  <si>
    <t>Loja</t>
  </si>
  <si>
    <t>Custo Total</t>
  </si>
  <si>
    <t>CENTRO ADM</t>
  </si>
  <si>
    <t>Equipe 2</t>
  </si>
  <si>
    <t>Equipe 1 + Equipe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</si>
</sst>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">
    <xf numFmtId="0" fontId="0" fillId="0" borderId="0" xfId="0"/>
    <xf numFmtId="44" fontId="0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"/>
  <sheetViews>
    <sheetView tabSelected="1" topLeftCell="F1" workbookViewId="0">
      <selection activeCell="O9" sqref="O9"/>
    </sheetView>
  </sheetViews>
  <sheetFormatPr defaultRowHeight="15" x14ac:dyDescent="0.25"/>
  <cols>
    <col min="1" max="1" width="17.42578125" bestFit="1" customWidth="1"/>
    <col min="2" max="2" width="14.42578125" bestFit="1" customWidth="1"/>
    <col min="3" max="3" width="8.42578125" bestFit="1" customWidth="1"/>
    <col min="4" max="4" width="11.42578125" bestFit="1" customWidth="1"/>
    <col min="5" max="5" width="35.7109375" bestFit="1" customWidth="1"/>
    <col min="6" max="6" width="12" bestFit="1" customWidth="1"/>
    <col min="7" max="7" width="10.28515625" bestFit="1" customWidth="1"/>
    <col min="8" max="8" width="14.42578125" bestFit="1" customWidth="1"/>
    <col min="9" max="11" width="18.5703125" bestFit="1" customWidth="1"/>
    <col min="12" max="12" width="15" bestFit="1" customWidth="1"/>
    <col min="13" max="13" width="15.42578125" bestFit="1" customWidth="1"/>
    <col min="14" max="14" width="17.42578125" bestFit="1" customWidth="1"/>
    <col min="15" max="15" width="21.8554687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f t="shared" ref="L2:L13" si="0">IF(AND(J2&lt;&gt;"",K2&lt;&gt;""),(K2-J2)*24,"")</f>
        <v>4.7222222783602774E-3</v>
      </c>
      <c r="M2" t="s">
        <v>97</v>
      </c>
      <c r="N2" s="1">
        <f t="shared" ref="N2:N13" si="1">IF(M2="Equipe 1",81,IF(M2="Equipe 2",81,IF(M2="Equipe 1 + Equipe 2",128,"")))</f>
        <v>128</v>
      </c>
      <c r="O2" s="1">
        <f t="shared" ref="O2:O13" si="2">IF(AND(L2&lt;&gt;"",N2&lt;&gt;""),L2*N2,"")</f>
        <v>0.60444445163011551</v>
      </c>
    </row>
    <row r="3" spans="1:15" x14ac:dyDescent="0.25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20</v>
      </c>
      <c r="G3" t="s">
        <v>21</v>
      </c>
      <c r="H3" t="s">
        <v>22</v>
      </c>
      <c r="I3" t="s">
        <v>31</v>
      </c>
      <c r="J3" t="s">
        <v>32</v>
      </c>
      <c r="K3" t="s">
        <v>33</v>
      </c>
      <c r="L3">
        <f t="shared" si="0"/>
        <v>0.57944444438908249</v>
      </c>
      <c r="M3" t="s">
        <v>96</v>
      </c>
      <c r="N3" s="1">
        <f t="shared" si="1"/>
        <v>81</v>
      </c>
      <c r="O3" s="1">
        <f t="shared" si="2"/>
        <v>46.934999995515682</v>
      </c>
    </row>
    <row r="4" spans="1:15" x14ac:dyDescent="0.25">
      <c r="A4" t="s">
        <v>34</v>
      </c>
      <c r="B4" t="s">
        <v>35</v>
      </c>
      <c r="C4" t="s">
        <v>36</v>
      </c>
      <c r="D4" t="s">
        <v>37</v>
      </c>
      <c r="E4" t="s">
        <v>38</v>
      </c>
      <c r="F4" t="s">
        <v>20</v>
      </c>
      <c r="G4" t="s">
        <v>21</v>
      </c>
      <c r="H4" t="s">
        <v>22</v>
      </c>
      <c r="I4" t="s">
        <v>39</v>
      </c>
      <c r="J4" t="s">
        <v>40</v>
      </c>
      <c r="K4" t="s">
        <v>40</v>
      </c>
      <c r="L4">
        <f t="shared" si="0"/>
        <v>0</v>
      </c>
      <c r="M4" t="s">
        <v>96</v>
      </c>
      <c r="N4" s="1">
        <f t="shared" si="1"/>
        <v>81</v>
      </c>
      <c r="O4" s="1">
        <f t="shared" si="2"/>
        <v>0</v>
      </c>
    </row>
    <row r="5" spans="1:15" x14ac:dyDescent="0.25">
      <c r="A5" t="s">
        <v>41</v>
      </c>
      <c r="B5" t="s">
        <v>42</v>
      </c>
      <c r="C5" t="s">
        <v>43</v>
      </c>
      <c r="D5" t="s">
        <v>37</v>
      </c>
      <c r="E5" t="s">
        <v>44</v>
      </c>
      <c r="F5" t="s">
        <v>45</v>
      </c>
      <c r="G5" t="s">
        <v>21</v>
      </c>
      <c r="H5" t="s">
        <v>46</v>
      </c>
      <c r="I5" t="s">
        <v>47</v>
      </c>
      <c r="J5" t="s">
        <v>48</v>
      </c>
      <c r="L5" t="str">
        <f t="shared" si="0"/>
        <v/>
      </c>
      <c r="M5" t="s">
        <v>96</v>
      </c>
      <c r="N5" s="1">
        <f t="shared" si="1"/>
        <v>81</v>
      </c>
      <c r="O5" s="1" t="str">
        <f t="shared" si="2"/>
        <v/>
      </c>
    </row>
    <row r="6" spans="1:15" x14ac:dyDescent="0.25">
      <c r="A6" t="s">
        <v>49</v>
      </c>
      <c r="B6" t="s">
        <v>50</v>
      </c>
      <c r="C6" t="s">
        <v>43</v>
      </c>
      <c r="D6" t="s">
        <v>37</v>
      </c>
      <c r="E6" t="s">
        <v>51</v>
      </c>
      <c r="F6" t="s">
        <v>20</v>
      </c>
      <c r="G6" t="s">
        <v>52</v>
      </c>
      <c r="H6" t="s">
        <v>53</v>
      </c>
      <c r="I6" t="s">
        <v>54</v>
      </c>
      <c r="L6" t="str">
        <f t="shared" si="0"/>
        <v/>
      </c>
      <c r="M6" t="s">
        <v>97</v>
      </c>
      <c r="N6" s="1">
        <f t="shared" si="1"/>
        <v>128</v>
      </c>
      <c r="O6" s="1" t="str">
        <f t="shared" si="2"/>
        <v/>
      </c>
    </row>
    <row r="7" spans="1:15" x14ac:dyDescent="0.25">
      <c r="A7" t="s">
        <v>55</v>
      </c>
      <c r="B7" t="s">
        <v>27</v>
      </c>
      <c r="C7" t="s">
        <v>28</v>
      </c>
      <c r="D7" t="s">
        <v>29</v>
      </c>
      <c r="E7" t="s">
        <v>56</v>
      </c>
      <c r="F7" t="s">
        <v>20</v>
      </c>
      <c r="G7" t="s">
        <v>52</v>
      </c>
      <c r="H7" t="s">
        <v>22</v>
      </c>
      <c r="I7" t="s">
        <v>57</v>
      </c>
      <c r="J7" t="s">
        <v>58</v>
      </c>
      <c r="K7" t="s">
        <v>59</v>
      </c>
      <c r="L7">
        <f t="shared" si="0"/>
        <v>2.0775000000139698</v>
      </c>
      <c r="M7" t="s">
        <v>96</v>
      </c>
      <c r="N7" s="1">
        <f t="shared" si="1"/>
        <v>81</v>
      </c>
      <c r="O7" s="1">
        <f t="shared" si="2"/>
        <v>168.27750000113156</v>
      </c>
    </row>
    <row r="8" spans="1:15" x14ac:dyDescent="0.25">
      <c r="A8" t="s">
        <v>60</v>
      </c>
      <c r="B8" t="s">
        <v>61</v>
      </c>
      <c r="C8" t="s">
        <v>62</v>
      </c>
      <c r="D8" t="s">
        <v>37</v>
      </c>
      <c r="E8" t="s">
        <v>63</v>
      </c>
      <c r="F8" t="s">
        <v>20</v>
      </c>
      <c r="G8" t="s">
        <v>21</v>
      </c>
      <c r="H8" t="s">
        <v>22</v>
      </c>
      <c r="I8" t="s">
        <v>64</v>
      </c>
      <c r="J8" t="s">
        <v>65</v>
      </c>
      <c r="K8" t="s">
        <v>66</v>
      </c>
      <c r="L8">
        <f t="shared" si="0"/>
        <v>42.827499999955762</v>
      </c>
      <c r="M8" t="s">
        <v>96</v>
      </c>
      <c r="N8" s="1">
        <f t="shared" si="1"/>
        <v>81</v>
      </c>
      <c r="O8" s="1">
        <f t="shared" si="2"/>
        <v>3469.0274999964167</v>
      </c>
    </row>
    <row r="9" spans="1:15" x14ac:dyDescent="0.25">
      <c r="A9" t="s">
        <v>67</v>
      </c>
      <c r="B9" t="s">
        <v>68</v>
      </c>
      <c r="C9" t="s">
        <v>17</v>
      </c>
      <c r="D9" t="s">
        <v>18</v>
      </c>
      <c r="E9" t="s">
        <v>69</v>
      </c>
      <c r="F9" t="s">
        <v>20</v>
      </c>
      <c r="G9" t="s">
        <v>52</v>
      </c>
      <c r="H9" t="s">
        <v>22</v>
      </c>
      <c r="I9" t="s">
        <v>70</v>
      </c>
      <c r="J9" t="s">
        <v>71</v>
      </c>
      <c r="K9" t="s">
        <v>71</v>
      </c>
      <c r="L9">
        <f t="shared" si="0"/>
        <v>0</v>
      </c>
      <c r="M9" t="s">
        <v>96</v>
      </c>
      <c r="N9" s="1">
        <f t="shared" si="1"/>
        <v>81</v>
      </c>
      <c r="O9" s="1">
        <f t="shared" si="2"/>
        <v>0</v>
      </c>
    </row>
    <row r="10" spans="1:15" x14ac:dyDescent="0.25">
      <c r="A10" t="s">
        <v>72</v>
      </c>
      <c r="B10" t="s">
        <v>73</v>
      </c>
      <c r="C10" t="s">
        <v>74</v>
      </c>
      <c r="D10" t="s">
        <v>37</v>
      </c>
      <c r="E10" t="s">
        <v>75</v>
      </c>
      <c r="F10" t="s">
        <v>76</v>
      </c>
      <c r="G10" t="s">
        <v>77</v>
      </c>
      <c r="H10" t="s">
        <v>53</v>
      </c>
      <c r="I10" t="s">
        <v>78</v>
      </c>
      <c r="L10" t="str">
        <f t="shared" si="0"/>
        <v/>
      </c>
      <c r="M10" t="s">
        <v>97</v>
      </c>
      <c r="N10" s="1">
        <f t="shared" si="1"/>
        <v>128</v>
      </c>
      <c r="O10" s="1" t="str">
        <f t="shared" si="2"/>
        <v/>
      </c>
    </row>
    <row r="11" spans="1:15" x14ac:dyDescent="0.25">
      <c r="A11" t="s">
        <v>79</v>
      </c>
      <c r="B11" t="s">
        <v>35</v>
      </c>
      <c r="C11" t="s">
        <v>36</v>
      </c>
      <c r="D11" t="s">
        <v>80</v>
      </c>
      <c r="E11" t="s">
        <v>81</v>
      </c>
      <c r="F11" t="s">
        <v>20</v>
      </c>
      <c r="G11" t="s">
        <v>52</v>
      </c>
      <c r="H11" t="s">
        <v>53</v>
      </c>
      <c r="I11" t="s">
        <v>82</v>
      </c>
      <c r="L11" t="str">
        <f t="shared" si="0"/>
        <v/>
      </c>
      <c r="M11" t="s">
        <v>96</v>
      </c>
      <c r="N11" s="1">
        <f t="shared" si="1"/>
        <v>81</v>
      </c>
      <c r="O11" s="1" t="str">
        <f t="shared" si="2"/>
        <v/>
      </c>
    </row>
    <row r="12" spans="1:15" x14ac:dyDescent="0.25">
      <c r="A12" t="s">
        <v>83</v>
      </c>
      <c r="B12" t="s">
        <v>35</v>
      </c>
      <c r="C12" t="s">
        <v>36</v>
      </c>
      <c r="D12" t="s">
        <v>80</v>
      </c>
      <c r="E12" t="s">
        <v>84</v>
      </c>
      <c r="F12" t="s">
        <v>85</v>
      </c>
      <c r="G12" t="s">
        <v>86</v>
      </c>
      <c r="H12" t="s">
        <v>22</v>
      </c>
      <c r="I12" t="s">
        <v>87</v>
      </c>
      <c r="J12" t="s">
        <v>88</v>
      </c>
      <c r="K12" t="s">
        <v>88</v>
      </c>
      <c r="L12">
        <f t="shared" si="0"/>
        <v>0</v>
      </c>
      <c r="M12" t="s">
        <v>96</v>
      </c>
      <c r="N12" s="1">
        <f t="shared" si="1"/>
        <v>81</v>
      </c>
      <c r="O12" s="1">
        <f t="shared" si="2"/>
        <v>0</v>
      </c>
    </row>
    <row r="13" spans="1:15" x14ac:dyDescent="0.25">
      <c r="A13" t="s">
        <v>89</v>
      </c>
      <c r="B13" t="s">
        <v>35</v>
      </c>
      <c r="C13" t="s">
        <v>36</v>
      </c>
      <c r="D13" t="s">
        <v>80</v>
      </c>
      <c r="E13" t="s">
        <v>90</v>
      </c>
      <c r="F13" t="s">
        <v>85</v>
      </c>
      <c r="G13" t="s">
        <v>21</v>
      </c>
      <c r="H13" t="s">
        <v>22</v>
      </c>
      <c r="I13" t="s">
        <v>91</v>
      </c>
      <c r="J13" t="s">
        <v>92</v>
      </c>
      <c r="K13" t="s">
        <v>92</v>
      </c>
      <c r="L13">
        <f t="shared" si="0"/>
        <v>0</v>
      </c>
      <c r="M13" t="s">
        <v>97</v>
      </c>
      <c r="N13" s="1">
        <f t="shared" si="1"/>
        <v>128</v>
      </c>
      <c r="O13" s="1">
        <f t="shared" si="2"/>
        <v>0</v>
      </c>
    </row>
  </sheetData>
  <dataValidations count="1">
    <dataValidation type="list" allowBlank="1" sqref="M2:M63" xr:uid="{00000000-0002-0000-0000-000000000000}">
      <formula1>"Equipe 1,Equipe 2,Equipe 1 + Equipe 2"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5" x14ac:dyDescent="0.25"/>
  <sheetData>
    <row r="1" spans="1:2" x14ac:dyDescent="0.25">
      <c r="A1" t="s">
        <v>93</v>
      </c>
      <c r="B1" t="s">
        <v>94</v>
      </c>
    </row>
    <row r="2" spans="1:2" x14ac:dyDescent="0.25">
      <c r="A2" t="s">
        <v>62</v>
      </c>
      <c r="B2">
        <f>SUMIF(Chamados!C:C,A2,Chamados!O:O)</f>
        <v>3469.0274999964167</v>
      </c>
    </row>
    <row r="3" spans="1:2" x14ac:dyDescent="0.25">
      <c r="A3" t="s">
        <v>43</v>
      </c>
      <c r="B3">
        <f>SUMIF(Chamados!C:C,A3,Chamados!O:O)</f>
        <v>0</v>
      </c>
    </row>
    <row r="4" spans="1:2" x14ac:dyDescent="0.25">
      <c r="A4" t="s">
        <v>74</v>
      </c>
      <c r="B4">
        <f>SUMIF(Chamados!C:C,A4,Chamados!O:O)</f>
        <v>0</v>
      </c>
    </row>
    <row r="5" spans="1:2" x14ac:dyDescent="0.25">
      <c r="A5" t="s">
        <v>36</v>
      </c>
      <c r="B5">
        <f>SUMIF(Chamados!C:C,A5,Chamados!O:O)</f>
        <v>0</v>
      </c>
    </row>
    <row r="6" spans="1:2" x14ac:dyDescent="0.25">
      <c r="A6" t="s">
        <v>17</v>
      </c>
      <c r="B6">
        <f>SUMIF(Chamados!C:C,A6,Chamados!O:O)</f>
        <v>0.60444445163011551</v>
      </c>
    </row>
    <row r="7" spans="1:2" x14ac:dyDescent="0.25">
      <c r="A7" t="s">
        <v>95</v>
      </c>
      <c r="B7">
        <f>SUMIF(Chamados!C:C,A7,Chamados!O:O)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Chamados</vt:lpstr>
      <vt:lpstr>Resumo por Loja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Jefferson Peixoto</cp:lastModifiedBy>
  <dcterms:created xsi:type="dcterms:W3CDTF">2026-04-11T19:47:54Z</dcterms:created>
  <dcterms:modified xsi:type="dcterms:W3CDTF">2026-04-11T21:24:51Z</dcterms:modified>
</cp:coreProperties>
</file>